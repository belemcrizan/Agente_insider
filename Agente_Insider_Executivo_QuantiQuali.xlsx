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elem\Downloads\"/>
    </mc:Choice>
  </mc:AlternateContent>
  <xr:revisionPtr revIDLastSave="0" documentId="13_ncr:1_{6FDA5C90-9862-45BF-8331-B80B89C8FE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poteses" sheetId="2" r:id="rId1"/>
    <sheet name="Efeito_Tamanho" sheetId="4" r:id="rId2"/>
    <sheet name="Casos_Contrastantes" sheetId="5" r:id="rId3"/>
    <sheet name="Experimentos" sheetId="6" r:id="rId4"/>
    <sheet name="Fontes_Limites" sheetId="12" r:id="rId5"/>
    <sheet name="Regulacao" sheetId="14" r:id="rId6"/>
    <sheet name="Contraprovas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D7" i="4"/>
  <c r="D6" i="4"/>
</calcChain>
</file>

<file path=xl/sharedStrings.xml><?xml version="1.0" encoding="utf-8"?>
<sst xmlns="http://schemas.openxmlformats.org/spreadsheetml/2006/main" count="438" uniqueCount="387">
  <si>
    <t>Valor</t>
  </si>
  <si>
    <t>Hipóteses H1–H4</t>
  </si>
  <si>
    <t>ID</t>
  </si>
  <si>
    <t>Hipótese original</t>
  </si>
  <si>
    <t>Eixo operacional</t>
  </si>
  <si>
    <t>Enunciado a testar</t>
  </si>
  <si>
    <t>Observáveis</t>
  </si>
  <si>
    <t>Teste proposto</t>
  </si>
  <si>
    <t>Contraprova / refutação</t>
  </si>
  <si>
    <t>Precedente e limite</t>
  </si>
  <si>
    <t>Maturidade</t>
  </si>
  <si>
    <t>H1</t>
  </si>
  <si>
    <t>Acesso + cronologia</t>
  </si>
  <si>
    <t>Acesso, publicidade e cronologia</t>
  </si>
  <si>
    <t>A reconstrução do conteúdo e do momento do acesso altera a pertinência da análise em relação ao timing isolado.</t>
  </si>
  <si>
    <t>Conteúdo específico, função, acesso ou presunção aplicável, ordem, execução e publicidade com data/hora.</t>
  </si>
  <si>
    <t>Comparar justificativas com e sem cronologia as-of. Codificar acesso comprovado, presumido e contestado em campos distintos.</t>
  </si>
  <si>
    <t>A informação já era pública, o acesso é posterior, ou falta materialidade no instante da operação.</t>
  </si>
  <si>
    <t>OSX e Agra/Didier. Acesso não encerra a análise de uso e finalidade.</t>
  </si>
  <si>
    <t>Proposta. Sem teste empírico concluído.</t>
  </si>
  <si>
    <t>H2</t>
  </si>
  <si>
    <t>Atipicidade contextualizada</t>
  </si>
  <si>
    <t>Atipicidade com perfil e mercado</t>
  </si>
  <si>
    <t>Histórico, exposição e contexto público podem alterar a leitura do desvio observado.</t>
  </si>
  <si>
    <t>Unidade do volume, janelas, custódia, proporção da posição, preço/volume do ativo e setor.</t>
  </si>
  <si>
    <t>Confrontar parecer com/sem histórico e contraprovas. Reconstruir a razão 15d/120d antes de interpretar medianas.</t>
  </si>
  <si>
    <t>Plano anterior, despesas documentadas ou movimento público compatível. Nenhum afasta o ilícito automaticamente.</t>
  </si>
  <si>
    <t>Hering 2020. Proporção e despesas integram um conjunto contextual.</t>
  </si>
  <si>
    <t>Apoio descritivo. Valores brutos indisponíveis.</t>
  </si>
  <si>
    <t>H3</t>
  </si>
  <si>
    <t>Vínculos + fluxo informacional</t>
  </si>
  <si>
    <t>Vínculos e circulação da informação</t>
  </si>
  <si>
    <t>O vínculo ganha utilidade quando qualificado por evidências de acesso, contato ou indícios convergentes.</t>
  </si>
  <si>
    <t>Relação, período, papel, titular/operador/beneficiário, contatos e fonte de cada aresta.</t>
  </si>
  <si>
    <t>Comparar pessoas com vínculo semelhante e suporte probatório diferente. Separar relação de transmissão.</t>
  </si>
  <si>
    <t>Parentesco isolado ou contato genérico. Ausência de registro não demonstra ausência de contato.</t>
  </si>
  <si>
    <t>All Ore. O caminho exato do vazamento não constitui requisito universal para responsabilização.</t>
  </si>
  <si>
    <t>Proposta. PVs e pareceres ainda dependem de acesso.</t>
  </si>
  <si>
    <t>H4</t>
  </si>
  <si>
    <t>Convergência + contraprovas</t>
  </si>
  <si>
    <t>Convergência e contraprovas</t>
  </si>
  <si>
    <t>A independência das fontes e o enfrentamento das hipóteses rivais tornam a fundamentação mais útil para revisão.</t>
  </si>
  <si>
    <t>Classes de evidência, dependências, alegação, documentos, aceitação no voto e lacunas.</t>
  </si>
  <si>
    <t>Dupla leitura e ablação de uma classe de evidência. Comparar fundamentações sem atribuir causalidade ao exercício.</t>
  </si>
  <si>
    <t>Retirada de uma fonte derruba o argumento ou a alternativa documental permanece sem resposta.</t>
  </si>
  <si>
    <t>Hering 2020 e All Ore. H4 organiza a síntese e não adiciona uma prova independente.</t>
  </si>
  <si>
    <t>Proposta. Sem pesos ou probabilidades calibrados.</t>
  </si>
  <si>
    <t>Outros PJ</t>
  </si>
  <si>
    <t>Razões e cobertura</t>
  </si>
  <si>
    <t>As medianas são valores informados. Falta a fórmula original e a base para reproduzi-las.</t>
  </si>
  <si>
    <t>Grupo PJ</t>
  </si>
  <si>
    <t>n válido</t>
  </si>
  <si>
    <t>n grupo</t>
  </si>
  <si>
    <t>Cobertura válida</t>
  </si>
  <si>
    <t>Mediana informada (x)</t>
  </si>
  <si>
    <t>Status de interpretação</t>
  </si>
  <si>
    <t>Histórico H1</t>
  </si>
  <si>
    <t>Pendente de conciliação das unidades e janelas. Sem significado probabilístico.</t>
  </si>
  <si>
    <t>Pendente de conciliação. Comparação descritiva selecionada, sem efeito causal.</t>
  </si>
  <si>
    <t>Checagem da definição</t>
  </si>
  <si>
    <t>Unidade</t>
  </si>
  <si>
    <t>Condição</t>
  </si>
  <si>
    <t>Resultado</t>
  </si>
  <si>
    <t>Interpretação</t>
  </si>
  <si>
    <t>Janela curta</t>
  </si>
  <si>
    <t>dias</t>
  </si>
  <si>
    <t>Mesma convenção de dias</t>
  </si>
  <si>
    <t>Exemplo matemático condicional, não reprocessamento das vendas.</t>
  </si>
  <si>
    <t>Janela longa</t>
  </si>
  <si>
    <t>15d contidos em 120d</t>
  </si>
  <si>
    <t>Volumes não negativos e médias diárias calculadas sobre as mesmas unidades.</t>
  </si>
  <si>
    <t>Limite da razão diária</t>
  </si>
  <si>
    <t>vezes</t>
  </si>
  <si>
    <t>V15 &lt;= V120</t>
  </si>
  <si>
    <t>Se as condições forem verdadeiras, a razão não ultrapassa 120/15.</t>
  </si>
  <si>
    <t>Confronto com medianas</t>
  </si>
  <si>
    <t>Definição original não anexada</t>
  </si>
  <si>
    <t>38,19x e 118,90x excedem o limite condicional. Confirmar janela anterior não sobreposta, escala ou unidade.</t>
  </si>
  <si>
    <t>Ação necessária: obter SQL ou código, datas de início/fim, regras para zero e nulos, unidade de cada campo e amostras de cálculo.</t>
  </si>
  <si>
    <t>Casos CVM</t>
  </si>
  <si>
    <t>Processo</t>
  </si>
  <si>
    <t>Acusado</t>
  </si>
  <si>
    <t>Imputação</t>
  </si>
  <si>
    <t>Sessão</t>
  </si>
  <si>
    <t>Desfecho CVM</t>
  </si>
  <si>
    <t>Fatos documentados</t>
  </si>
  <si>
    <t>Fundamento observado</t>
  </si>
  <si>
    <t>Contraprova e limite</t>
  </si>
  <si>
    <t>Eixos</t>
  </si>
  <si>
    <t>Fonte e localização</t>
  </si>
  <si>
    <t>AGRA-DIEGO</t>
  </si>
  <si>
    <t>26/2010</t>
  </si>
  <si>
    <t>Diego Soares de Arruda</t>
  </si>
  <si>
    <t>Uso de informação privilegiada</t>
  </si>
  <si>
    <t>Condenação unânime na sessão</t>
  </si>
  <si>
    <t>Operou pela conta da mãe. Benefício de R$ 844.170,34 e multa de R$ 1.266.255,51, segundo o dispositivo publicado.</t>
  </si>
  <si>
    <t>Autoria da operação e conjunto probatório. Os votos consultados aderem à fundamentação de Henrique Machado.</t>
  </si>
  <si>
    <t>Reconferir voto de Henrique para individualizar cada indício aceito. Parentesco não é a única evidência indicada.</t>
  </si>
  <si>
    <t>H1, H3, H4</t>
  </si>
  <si>
    <t>C01, C02 §4, C03 §1</t>
  </si>
  <si>
    <t>Ficha documental inicial. Revisão independente pendente.</t>
  </si>
  <si>
    <t>AGRA-DIDIER</t>
  </si>
  <si>
    <t>Didier Maurice Klotz</t>
  </si>
  <si>
    <t>Absolvição por empate, in dubio pro reo</t>
  </si>
  <si>
    <t>Venda em 30/07/2008, após divulgação de 22/06/2008. Gonzalez não identificou assimetria relevante no momento da venda.</t>
  </si>
  <si>
    <t>No voto de Gonzalez, andamento normal das tratativas não comprova informação privilegiada nova.</t>
  </si>
  <si>
    <t>A divulgação inicial não imuniza negociações futuras. Nova informação material continua exigindo análise.</t>
  </si>
  <si>
    <t>H1, H2, H4</t>
  </si>
  <si>
    <t>C01, C02 §§5, 34, 38–40, 43–54, C03 §1</t>
  </si>
  <si>
    <t>AGRA-ASTERIO</t>
  </si>
  <si>
    <t>Astério Vaz Safatle</t>
  </si>
  <si>
    <t>Absolvição por maioria</t>
  </si>
  <si>
    <t>Henrique Machado votou por condenar. Demais votos indicados no comunicado levaram à absolvição.</t>
  </si>
  <si>
    <t>Divergência individual confirmada. Fundamento probatório completo ainda requer o conjunto dos votos.</t>
  </si>
  <si>
    <t>Não atribuir motivo da absolvição por analogia com Didier.</t>
  </si>
  <si>
    <t>H1, H4</t>
  </si>
  <si>
    <t>Desfecho confirmado. Codificação dos fundamentos pendente.</t>
  </si>
  <si>
    <t>HER20-CARLOS</t>
  </si>
  <si>
    <t>19957.005966/2016-38</t>
  </si>
  <si>
    <t>Carlos Tavares D’Amaral</t>
  </si>
  <si>
    <t>Absolvição unânime</t>
  </si>
  <si>
    <t>Vendas de 13 e 22/04/2015 somaram 20.000 ações, 1,16% da posição. Voto registra cheques compensados acima de R$ 650 mil em abril.</t>
  </si>
  <si>
    <t>Relevância e acesso reconhecidos. Documentos de despesas, cronologia e proporção das vendas compõem contraindícios.</t>
  </si>
  <si>
    <t>O voto rejeita que pequeno volume ou despesas pessoais, isoladamente, excluam a infração.</t>
  </si>
  <si>
    <t>C04, C05 §§40–43, 49–59, 64–69</t>
  </si>
  <si>
    <t>HER24-CIA</t>
  </si>
  <si>
    <t>19957.007285/2022-52</t>
  </si>
  <si>
    <t>Cia. Hering S.A.</t>
  </si>
  <si>
    <t>Relator votou por condenar. Presidência e demais votos absolutórios divergiram quanto a fundamentos e mérito.</t>
  </si>
  <si>
    <t>Extrato confirma a divergência. Accioly discute materialidade ex ante e finalidade defensiva das recompras.</t>
  </si>
  <si>
    <t>Não converter o entendimento de um voto em tese unânime nem em permissão geral de recompra.</t>
  </si>
  <si>
    <t>C06 extrato pp. 1–2, voto DJA §§20–36, SEI pp. 89–92</t>
  </si>
  <si>
    <t>Extrato e trechos cotejados. Dupla revisão pendente.</t>
  </si>
  <si>
    <t>HER24-FABIO</t>
  </si>
  <si>
    <t>Fabio Hering</t>
  </si>
  <si>
    <t>Mesmo extrato registra absolvição do administrador. A unidade permanece separada da companhia.</t>
  </si>
  <si>
    <t>A motivação e os atos individuais precisam de codificação própria.</t>
  </si>
  <si>
    <t>Não contar votos diferentes como novos casos nem copiar automaticamente a ficha da companhia.</t>
  </si>
  <si>
    <t>C06 extrato pp. 1–2</t>
  </si>
  <si>
    <t>Desfecho confirmado. Codificação individual pendente.</t>
  </si>
  <si>
    <t>ALLORE-JAIME</t>
  </si>
  <si>
    <t>RJ2016/2384</t>
  </si>
  <si>
    <t>Jaime Augusto da Cunha Rebelo</t>
  </si>
  <si>
    <t>Voto-vista propôs condenação. Maioria acompanhou absolvição. Manipulação de preços é imputação distinta.</t>
  </si>
  <si>
    <t>Barbosa: conversa lacônica e conjunto insuficiente para afastar dúvidas plausíveis. Admite prova indiciária.</t>
  </si>
  <si>
    <t>Não exigir sempre a rota exata da informação. Não inferir que a existência de um contato prove transmissão.</t>
  </si>
  <si>
    <t>C07, C08 §§3–11, C09</t>
  </si>
  <si>
    <t>Votos divergentes identificados. Revisão independente pendente.</t>
  </si>
  <si>
    <t>OSX-EIKE</t>
  </si>
  <si>
    <t>RJ2013/13172</t>
  </si>
  <si>
    <t>Eike Fuhrken Batista</t>
  </si>
  <si>
    <t>Condenação por maioria</t>
  </si>
  <si>
    <t>Acesso à minuta em 15/04/2013. Venda em 19/04. Divulgação em 17/05. Distância venda/divulgação: 28 dias corridos.</t>
  </si>
  <si>
    <t>Pablo Renteria acolheu tese de free float. Leonardo Pereira considerou que ela não afastava a finalidade de evitar perda.</t>
  </si>
  <si>
    <t>Resultado e divergência confirmados por comunicado. Não substituir voto integral por resumo jornalístico oficial.</t>
  </si>
  <si>
    <t>C10, item 1</t>
  </si>
  <si>
    <t>Comunicado oficial verificado. Votos integrais ainda a cotejar.</t>
  </si>
  <si>
    <t>Experimentos</t>
  </si>
  <si>
    <t>Desenhos propostos. A leitura de precedentes não substitui avaliação interna.</t>
  </si>
  <si>
    <t>Experimento</t>
  </si>
  <si>
    <t>Pergunta verificável</t>
  </si>
  <si>
    <t>Desenho / controle</t>
  </si>
  <si>
    <t>Entrega observável</t>
  </si>
  <si>
    <t>Limite</t>
  </si>
  <si>
    <t>Status</t>
  </si>
  <si>
    <t>Pares contrastantes</t>
  </si>
  <si>
    <t>O que difere entre unidades com indícios semelhantes e resultados distintos?</t>
  </si>
  <si>
    <t>Mesmo regime, tipo de sujeito, evento e qualidade documental, se o corpus permitir.</t>
  </si>
  <si>
    <t>Fundamento diferencial e contraprova com página.</t>
  </si>
  <si>
    <t>Sem teste causal. Casos selecionados não representam o universo.</t>
  </si>
  <si>
    <t>Proposto. Fichas iniciais disponíveis.</t>
  </si>
  <si>
    <t>Linha do tempo as-of</t>
  </si>
  <si>
    <t>A informação estava pública no momento da ordem e da execução?</t>
  </si>
  <si>
    <t>Horários originais, fuso, conteúdo, versões e fonte primária.</t>
  </si>
  <si>
    <t>Conteúdo conhecido em cada instante e intervalo em dias/horas.</t>
  </si>
  <si>
    <t>Evitar usar notícias ou reações futuras como entradas da análise.</t>
  </si>
  <si>
    <t>Proposto. Exemplo OSX documentado.</t>
  </si>
  <si>
    <t>Ablação por classe de evidência</t>
  </si>
  <si>
    <t>A justificativa permanece quando se retira a fonte principal?</t>
  </si>
  <si>
    <t>Remover grupo de evidências de mesma origem e reavaliar às cegas.</t>
  </si>
  <si>
    <t>Dependência do argumento e nova lacuna identificada.</t>
  </si>
  <si>
    <t>Exercício de robustez. Não reproduz o contrafactual do julgador.</t>
  </si>
  <si>
    <t>Não executado.</t>
  </si>
  <si>
    <t>Hipóteses rivais</t>
  </si>
  <si>
    <t>Há suporte documental para explicação alternativa?</t>
  </si>
  <si>
    <t>Plano, caixa, mercado, exposição e publicidade contemporânea.</t>
  </si>
  <si>
    <t>Matriz evidência favorável/contrária, alcance e pendências.</t>
  </si>
  <si>
    <t>Explicação plausível sem documento não se converte em fato.</t>
  </si>
  <si>
    <t>Não executado nas bases internas.</t>
  </si>
  <si>
    <t>Grafo com proveniência</t>
  </si>
  <si>
    <t>Quem operou, para quem e qual vínculo é demonstrável?</t>
  </si>
  <si>
    <t>Uma fonte datada por relação. Separar cadastro, contato e transmissão.</t>
  </si>
  <si>
    <t>Cadeia de autoria, acesso e beneficiário com incerteza explícita.</t>
  </si>
  <si>
    <t>Conexão não implica transmissão. Rota exata não é exigência universal.</t>
  </si>
  <si>
    <t>Proposto. Sem rede interna anexada.</t>
  </si>
  <si>
    <t>Dupla codificação</t>
  </si>
  <si>
    <t>Revisores independentes interpretam os mesmos fatores de modo consistente?</t>
  </si>
  <si>
    <t>Codificação inicial independente, conciliação e registro de desacordos.</t>
  </si>
  <si>
    <t>Acordo por campo, matriz de divergência e manual revisado.</t>
  </si>
  <si>
    <t>Acordo não garante validade. Kappa depende da prevalência e do tamanho amostral.</t>
  </si>
  <si>
    <t>Pendente de revisores.</t>
  </si>
  <si>
    <t>Fonte</t>
  </si>
  <si>
    <t>D01</t>
  </si>
  <si>
    <t>C11</t>
  </si>
  <si>
    <t>Fontes e limites</t>
  </si>
  <si>
    <t>Consulta em 30/10/2026. Identificadores R/C são reutilizados nos casos e na apresentação.</t>
  </si>
  <si>
    <t>Documento</t>
  </si>
  <si>
    <t>Localização usada</t>
  </si>
  <si>
    <t>Tipo</t>
  </si>
  <si>
    <t>URL / origem</t>
  </si>
  <si>
    <t>Limite de uso</t>
  </si>
  <si>
    <t>Anexos recebidos, 30/10/2026</t>
  </si>
  <si>
    <t>Planilha 02, 03 e 09</t>
  </si>
  <si>
    <t>Dados internos resumidos</t>
  </si>
  <si>
    <t>Anexo do projeto. Recorte informado ago–set/2026</t>
  </si>
  <si>
    <t>Valores agregados. Registros brutos, fórmulas originais e pareceres não anexados.</t>
  </si>
  <si>
    <t>R01</t>
  </si>
  <si>
    <t>CVM, Resolução 44, texto consolidado</t>
  </si>
  <si>
    <t>Arts. 2, 13, 14 e 16</t>
  </si>
  <si>
    <t>Norma</t>
  </si>
  <si>
    <t>https://conteudo.cvm.gov.br/export/sites/cvm/legislacao/resolucoes/anexos/001/resol044consolid.pdf</t>
  </si>
  <si>
    <t>Consolidado disponibilizado pela CVM, com alterações 60/21 e 216/24. Aplicação e exceções dependem do caso.</t>
  </si>
  <si>
    <t>R02</t>
  </si>
  <si>
    <t>CVM, Resolução 35, texto consolidado</t>
  </si>
  <si>
    <t>Arts. 20, 21, 25, 31, 33 IV, 41 e 48</t>
  </si>
  <si>
    <t>https://conteudo.cvm.gov.br/export/sites/cvm/legislacao/resolucoes/anexos/001/resol035consolid.pdf</t>
  </si>
  <si>
    <t>Consolidado com alterações 134/22, 179/23 e 209/24. Confirmar entidade regulada, processo e políticas internas.</t>
  </si>
  <si>
    <t>C01</t>
  </si>
  <si>
    <t>CVM, Agra/Cyrela, PAS 26/2010</t>
  </si>
  <si>
    <t>Resultado da sessão de 27/11/2018</t>
  </si>
  <si>
    <t>Comunicado oficial</t>
  </si>
  <si>
    <t>https://www.gov.br/cvm/pt-br/assuntos/noticias/2018/julgado-caso-envolvendo-acusacoes-de-insider-trading-e75731190d60451fb29ecc29ed9414aa</t>
  </si>
  <si>
    <t>Desfechos por acusado na sessão citada. Não informa situação recursal posterior.</t>
  </si>
  <si>
    <t>C02</t>
  </si>
  <si>
    <t>CVM, Agra/Cyrela, Gustavo Gonzalez</t>
  </si>
  <si>
    <t>Voto, §§4–7, 34, 38–40 e 43–54, pp. 2–3, 12–17</t>
  </si>
  <si>
    <t>Voto oficial</t>
  </si>
  <si>
    <t>https://www.gov.br/cvm/pt-br/assuntos/noticias/anexos/2018/20181128_PAS_CVM_26_201_voto_diretor_gustavo_gonzalez.pdf-43ef07a355f549ba8d9a8c5f610e3b8b</t>
  </si>
  <si>
    <t>Confronto com votos divergentes e dispositivo. Fundamentação individual de Didier, não de todos os acusados.</t>
  </si>
  <si>
    <t>C03</t>
  </si>
  <si>
    <t>CVM, Agra/Cyrela, Marcelo Barbosa</t>
  </si>
  <si>
    <t>Manifestação, §1 e §§3–6, pp. 1–2</t>
  </si>
  <si>
    <t>https://www.gov.br/cvm/pt-br/assuntos/noticias/anexos/2018/20181127_PAS_26_2010_manifestacao_PTE.pdf-d986cf76f57e49edb23bb2059a3e3a95</t>
  </si>
  <si>
    <t>Concordância com condenação de Diego e absolvição de Didier. Regime histórico da ICVM 358.</t>
  </si>
  <si>
    <t>C04</t>
  </si>
  <si>
    <t>CVM, Hering, PAS 19957.005966/2016-38</t>
  </si>
  <si>
    <t>Resultado da sessão de 16/06/2020</t>
  </si>
  <si>
    <t>https://www.gov.br/cvm/pt-br/assuntos/noticias/2020/cvm-julga-diretor-de-companhia-por-pratica-de-insider-trading-f4c8ea6de2ce41d6947b4591d10b4e05</t>
  </si>
  <si>
    <t>Carlos Tavares D’Amaral. Processo diferente do julgado em 2024.</t>
  </si>
  <si>
    <t>C05</t>
  </si>
  <si>
    <t>CVM, Hering 2020, Flávia Perlingeiro</t>
  </si>
  <si>
    <t>Voto, §§40–43, 49–59 e 64–69, pp. 9–16</t>
  </si>
  <si>
    <t>https://www.gov.br/cvm/pt-br/assuntos/noticias/anexos/2020/20200616_PAS_CVM_SEI_19957_005966_2016_38_voto_diretora_flavia_perlingeiro.pdf-d2147c143a4644e28360b2524c9f68e4</t>
  </si>
  <si>
    <t>Relevância e acesso reconhecidos. Contraprovas examinadas em conjunto. Pequeno volume ou despesas isolados não bastam.</t>
  </si>
  <si>
    <t>C06</t>
  </si>
  <si>
    <t>CVM, Hering, PAS 19957.007285/2022-52</t>
  </si>
  <si>
    <t>Extrato, pp. 1–2. Voto João Accioly, §§20–36, pp. SEI 89–92</t>
  </si>
  <si>
    <t>Extrato e votos oficiais</t>
  </si>
  <si>
    <t>https://conteudo.cvm.gov.br/export/sites/cvm/sancionadores/sancionador/anexos/2024/SEI_19957007285_2022_52.pdf</t>
  </si>
  <si>
    <t>Sessão de 20/08/2024. Cia. Hering e Fabio Hering. Há fundamentos distintos entre os votos absolutórios.</t>
  </si>
  <si>
    <t>C07</t>
  </si>
  <si>
    <t>CVM, All Ore, PAS RJ2016/2384</t>
  </si>
  <si>
    <t>Resultado da sessão de 26/11/2019, item 1</t>
  </si>
  <si>
    <t>https://www.gov.br/cvm/pt-br/assuntos/noticias/2019-1/cvm-julga-processo-envolvendo-insider-trading-4768a05bf27e4f859d80bc63da4a266d</t>
  </si>
  <si>
    <t>Absolvição por maioria por insider. Manipulação é imputação separada.</t>
  </si>
  <si>
    <t>C08</t>
  </si>
  <si>
    <t>CVM, All Ore, Marcelo Barbosa</t>
  </si>
  <si>
    <t>Manifestação, §§3–11, pp. 1–3</t>
  </si>
  <si>
    <t>https://www.gov.br/cvm/pt-br/assuntos/noticias/anexos/2019/20191126_PAS_CVM_RJ2016_2384_SEI_19957_001639_2016_15_manifestacao_voto_presidente_marcelo_barbosa.pdf-d16215a199734c9a868d2263a64ae3c5</t>
  </si>
  <si>
    <t>Suficiência da prova, ausência de detalhe da conversa e dúvidas plausíveis. Caminho exato do vazamento não é exigência universal.</t>
  </si>
  <si>
    <t>C09</t>
  </si>
  <si>
    <t>CVM, All Ore, Henrique Machado</t>
  </si>
  <si>
    <t>Voto-vista de 26/11/2019</t>
  </si>
  <si>
    <t>https://www.gov.br/cvm/pt-br/assuntos/noticias/anexos/2019/20191126_PAS_CVM_RJ2016_2384_SEI_19957_001639_2016_15_voto_diretor_henrique_machado.pdf-af2660a5f32a4394a586fd58ce6f0e6a</t>
  </si>
  <si>
    <t>Voto divergente pela condenação. Não representa o resultado colegiado.</t>
  </si>
  <si>
    <t>C10</t>
  </si>
  <si>
    <t>CVM, OSX, PAS RJ2013/13172</t>
  </si>
  <si>
    <t>Comunicado de 13/06/2017, item 1</t>
  </si>
  <si>
    <t>https://www.gov.br/cvm/pt-br/assuntos/noticias/2017/colegiado-condena-acusados-por-insider-trading-8445e3a3e7154220b15a16d4ed56c722</t>
  </si>
  <si>
    <t>Condenação por maioria na sessão. Cronologia e divergência relatadas oficialmente. Votos integrais não cotejados nesta ficha.</t>
  </si>
  <si>
    <t>CVM, atividade sancionadora 2024</t>
  </si>
  <si>
    <t>Balanço anual publicado em 12/03/2025</t>
  </si>
  <si>
    <t>Estatística oficial</t>
  </si>
  <si>
    <t>https://www.gov.br/cvm/pt-br/assuntos/noticias/2025/multas-aplicadas-pela-cvm-em-julgamentos-superam-r-1-bilhao-em-2024</t>
  </si>
  <si>
    <t>94 PAS de todos os temas. 176 pessoas sancionadas e 150 absolvidas como contagens publicadas. Não são prevalência de insider.</t>
  </si>
  <si>
    <t>C12</t>
  </si>
  <si>
    <t>CVM, HRT, sessões de 13/09/2016</t>
  </si>
  <si>
    <t>Comunicado dos processos RJ2014/3225 e RJ2015/2666</t>
  </si>
  <si>
    <t>https://www.gov.br/cvm/pt-br/assuntos/noticias/2016/ex-administradores-da-hrt-condenados-por-insider-trading-88b5bccb2a834b62bef1149a518f05fb/</t>
  </si>
  <si>
    <t>Poços offshore da Namíbia são ativos petrolíferos. Não documentam, por si, um veículo societário offshore.</t>
  </si>
  <si>
    <t>Mapa regulatório</t>
  </si>
  <si>
    <t>Requisitos normativos e controles propostos têm papéis distintos. Políticas específicas do Itaú não foram fornecidas.</t>
  </si>
  <si>
    <t>Referência</t>
  </si>
  <si>
    <t>Dispositivo</t>
  </si>
  <si>
    <t>Conteúdo da referência</t>
  </si>
  <si>
    <t>Tradução para o processo</t>
  </si>
  <si>
    <t>Registro esperado</t>
  </si>
  <si>
    <t>Aplicação e limite</t>
  </si>
  <si>
    <t>CVM 44</t>
  </si>
  <si>
    <t>Art. 13, caput e §§1–2</t>
  </si>
  <si>
    <t>Uso de informação material ainda não divulgada para obter vantagem. Presunções relativas, conforme sujeitos e circunstâncias.</t>
  </si>
  <si>
    <t>Separar fato comprovado, presunção normativa e contestação documental.</t>
  </si>
  <si>
    <t>Hipóteses H1 e H3 com fundamento da presunção e fonte.</t>
  </si>
  <si>
    <t>Validar aplicabilidade pelo Jurídico/Compliance.</t>
  </si>
  <si>
    <t>Art. 14 e art. 16 §2</t>
  </si>
  <si>
    <t>Período de 15 dias anterior à divulgação de ITR/DFP para os sujeitos indicados. Há ressalvas e exceções.</t>
  </si>
  <si>
    <t>Encaminhar verificação da vedação por fluxo próprio. A contraprova de finalidade não resolve, sozinha, o art. 14.</t>
  </si>
  <si>
    <t>Evento contábil, sujeito, contagem de dias e eventual exceção documentada.</t>
  </si>
  <si>
    <t>Manter distinto do ilícito de uso de informação do art. 13.</t>
  </si>
  <si>
    <t>Art. 16</t>
  </si>
  <si>
    <t>Plano individual escrito, verificável, com datas/eventos e valores/quantidades, e prazo mínimo de três meses para efeitos.</t>
  </si>
  <si>
    <t>Conferir todos os requisitos antes de tratar plano como contraprova.</t>
  </si>
  <si>
    <t>Versão, data de eficácia, alterações e execução compatível.</t>
  </si>
  <si>
    <t>Requisitos adicionais e proibições do artigo continuam aplicáveis.</t>
  </si>
  <si>
    <t>CVM 35</t>
  </si>
  <si>
    <t>Arts. 20–21, 25 e 31</t>
  </si>
  <si>
    <t>Rastreabilidade das ordens, prioridade segundo critérios normativos, operações de pessoas vinculadas e conflitos.</t>
  </si>
  <si>
    <t>Trading ahead exige sequência de ordens e conhecimento. Vínculo com intermediário difere de vínculo com emissor.</t>
  </si>
  <si>
    <t>Ordem, oferta, negócio, usuário e origem da instrução.</t>
  </si>
  <si>
    <t>Mapear a regra efetiva de NTS e trading ahead antes de aplicar o protocolo.</t>
  </si>
  <si>
    <t>Art. 33 IV</t>
  </si>
  <si>
    <t>Intermediário deve informar ocorrência ou indícios de violação à CVM em até cinco dias úteis da ocorrência ou identificação.</t>
  </si>
  <si>
    <t>Compliance avalia enquadramento e marco temporal. O agente não suspende nem reinicia o prazo.</t>
  </si>
  <si>
    <t>Data da ocorrência/identificação, responsável e trilha do encaminhamento.</t>
  </si>
  <si>
    <t>Alerta interno não é, por si só, conclusão jurídica de dever de comunicar.</t>
  </si>
  <si>
    <t>Arts. 41 e 48</t>
  </si>
  <si>
    <t>Segurança dos dados e manutenção dos documentos exigidos por no mínimo cinco anos, ou mais por determinação da CVM.</t>
  </si>
  <si>
    <t>Acesso por função, registro de consultas e retenção conforme escopo regulado e política.</t>
  </si>
  <si>
    <t>Dossiê, versões, histórico de revisão e fontes recuperáveis.</t>
  </si>
  <si>
    <t>O art. 48 delimita documentos regulados. Prazo não vira regra universal para todo dado pessoal.</t>
  </si>
  <si>
    <t>Precedentes históricos</t>
  </si>
  <si>
    <t>ICVM 358 citada nos votos</t>
  </si>
  <si>
    <t>Decisões sobre fatos antigos seguem seu contexto normativo. A CVM 44 revogou a ICVM 358.</t>
  </si>
  <si>
    <t>Registrar data dos fatos e norma do caso. Validar transportabilidade para o processo atual.</t>
  </si>
  <si>
    <t>Campo de regime normativo por unidade de análise.</t>
  </si>
  <si>
    <t>R01, C02, C05, C06</t>
  </si>
  <si>
    <t>Não transplantar automaticamente absolvições antigas para o atual art. 14.</t>
  </si>
  <si>
    <t>Políticas Itaú e demais regimes</t>
  </si>
  <si>
    <t>Documentação interna ainda não fornecida</t>
  </si>
  <si>
    <t>Não foi possível conferir modelo de risco, IARA, segurança, privacidade e fluxos institucionais específicos.</t>
  </si>
  <si>
    <t>Solicitar documentos vigentes, aprovações e responsáveis.</t>
  </si>
  <si>
    <t>Matriz de aderência com evidências de homologação.</t>
  </si>
  <si>
    <t>Apresentação para avaliação interna. Sem certificação de conformidade institucional.</t>
  </si>
  <si>
    <t>Contraprovas</t>
  </si>
  <si>
    <t>Cada documento tem alcance específico. A análise registra alegação, suporte, acolhimento e lacunas.</t>
  </si>
  <si>
    <t>Candidata</t>
  </si>
  <si>
    <t>Documento necessário</t>
  </si>
  <si>
    <t>O que pode sustentar</t>
  </si>
  <si>
    <t>Limite / teste adicional</t>
  </si>
  <si>
    <t>Base ou maturidade</t>
  </si>
  <si>
    <t>Plano ou ordem anterior</t>
  </si>
  <si>
    <t>Instrumento datado, regras, versões e aderência da execução.</t>
  </si>
  <si>
    <t>Decisão de negociar pode anteceder a informação.</t>
  </si>
  <si>
    <t>Documento posterior, discricionariedade ou descumprimento enfraquecem a tese. Verificar art. 16, requisitos e exceções.</t>
  </si>
  <si>
    <t>CVM 44 art. 16. Não basta chamar uma estratégia de plano.</t>
  </si>
  <si>
    <t>Despesas e necessidade de caixa</t>
  </si>
  <si>
    <t>Contratos, extratos e vencimentos coerentes com as vendas.</t>
  </si>
  <si>
    <t>Razão econômica alternativa com suporte material.</t>
  </si>
  <si>
    <t>Recursos são fungíveis. Despesa isolada não exclui uso indevido.</t>
  </si>
  <si>
    <t>H2, H4</t>
  </si>
  <si>
    <t>Hering 2020, voto §§51–59 e 64–69.</t>
  </si>
  <si>
    <t>Férias ou ausência em reunião</t>
  </si>
  <si>
    <t>Calendário, presença, acesso remoto e período.</t>
  </si>
  <si>
    <t>Ausência em um canal específico.</t>
  </si>
  <si>
    <t>E-mail, ligação e terceiro continuam possíveis. Documento não prova ausência total de acesso.</t>
  </si>
  <si>
    <t>H1, H3</t>
  </si>
  <si>
    <t>Contraprova candidata. Sem caso interno documentado no anexo.</t>
  </si>
  <si>
    <t>Notícia ou divulgação prévia</t>
  </si>
  <si>
    <t>Conteúdo, publicação original, fuso, correções e horário disponível.</t>
  </si>
  <si>
    <t>O que o mercado já podia conhecer no instante relevante.</t>
  </si>
  <si>
    <t>Rumor não equivale ao conteúdo integral. Informação material nova pode surgir depois.</t>
  </si>
  <si>
    <t>Agra/Didier, voto Gonzalez §§34, 38–40 e 43–54.</t>
  </si>
  <si>
    <t>Movimento setorial ou índice</t>
  </si>
  <si>
    <t>Séries contemporâneas comparáveis e ajuste por eventos.</t>
  </si>
  <si>
    <t>Possível componente comum no preço ou volume.</t>
  </si>
  <si>
    <t>Correlação não afasta acesso nem explica automaticamente decisão individual.</t>
  </si>
  <si>
    <t>Teste proposto. Série de mercado não consta dos anexos.</t>
  </si>
  <si>
    <t>Pequena fração da posição</t>
  </si>
  <si>
    <t>Custódia na data, ativos/instituições cobertos e quantidade negociada.</t>
  </si>
  <si>
    <t>Magnitude relativa no patrimônio observável.</t>
  </si>
  <si>
    <t>Pequeno volume pode coexistir com uso indevido. Custódia parcial não mede o patrimônio integral.</t>
  </si>
  <si>
    <t>Hering 2020, voto §§49–50 e 59–66.</t>
  </si>
  <si>
    <t>Pessoa relacionada ou offshore</t>
  </si>
  <si>
    <t>Beneficiário, operador, mandato, jurisdição, contatos e transações.</t>
  </si>
  <si>
    <t>Cadeia de autoria e eventual circulação da informação.</t>
  </si>
  <si>
    <t>Endereço, parentesco ou veículo offshore não demonstram transmissão ou culpa.</t>
  </si>
  <si>
    <t>Sem veículo offshore societário verificado neste lote. HRT refere-se a poços.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</si>
</sst>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&quot;x&quot;"/>
    <numFmt numFmtId="166" formatCode="0.0"/>
  </numFmts>
  <fonts count="6">
    <font>
      <sz val="11"/>
      <name val="Carlito"/>
    </font>
    <font>
      <sz val="11"/>
      <color rgb="FF243D50"/>
      <name val="Arial"/>
    </font>
    <font>
      <b/>
      <sz val="16"/>
      <color rgb="FF17334C"/>
      <name val="Arial"/>
    </font>
    <font>
      <i/>
      <sz val="10"/>
      <color rgb="FF5B6B78"/>
      <name val="Arial"/>
    </font>
    <font>
      <b/>
      <sz val="11"/>
      <color rgb="FFFFFFFF"/>
      <name val="Arial"/>
    </font>
    <font>
      <sz val="11"/>
      <color rgb="FF5B6B78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34C"/>
      </patternFill>
    </fill>
    <fill>
      <patternFill patternType="solid">
        <fgColor rgb="FFF3F5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692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4" fontId="1" fillId="3" borderId="0" xfId="0" applyNumberFormat="1" applyFont="1" applyFill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65" fontId="1" fillId="3" borderId="0" xfId="0" applyNumberFormat="1" applyFont="1" applyFill="1" applyAlignment="1">
      <alignment vertical="top" wrapText="1"/>
    </xf>
    <xf numFmtId="166" fontId="1" fillId="0" borderId="0" xfId="0" applyNumberFormat="1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14" fontId="1" fillId="3" borderId="0" xfId="0" applyNumberFormat="1" applyFont="1" applyFill="1" applyAlignment="1">
      <alignment vertical="top" wrapText="1"/>
    </xf>
    <xf numFmtId="0" fontId="5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_01HipotesesImutaveis_5" displayName="T_01HipotesesImutaveis_5" ref="A5:I9" totalsRowShown="0">
  <autoFilter ref="A5:I9" xr:uid="{00000000-0009-0000-0100-000001000000}"/>
  <tableColumns count="9">
    <tableColumn id="1" xr3:uid="{00000000-0010-0000-0200-000001000000}" name="ID"/>
    <tableColumn id="2" xr3:uid="{00000000-0010-0000-0200-000002000000}" name="Hipótese original"/>
    <tableColumn id="3" xr3:uid="{00000000-0010-0000-0200-000003000000}" name="Eixo operacional"/>
    <tableColumn id="4" xr3:uid="{00000000-0010-0000-0200-000004000000}" name="Enunciado a testar"/>
    <tableColumn id="5" xr3:uid="{00000000-0010-0000-0200-000005000000}" name="Observáveis"/>
    <tableColumn id="6" xr3:uid="{00000000-0010-0000-0200-000006000000}" name="Teste proposto"/>
    <tableColumn id="7" xr3:uid="{00000000-0010-0000-0200-000007000000}" name="Contraprova / refutação"/>
    <tableColumn id="8" xr3:uid="{00000000-0010-0000-0200-000008000000}" name="Precedente e limite"/>
    <tableColumn id="9" xr3:uid="{00000000-0010-0000-0200-000009000000}" name="Maturidad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_03EfeitoTamanho_5" displayName="T_03EfeitoTamanho_5" ref="A5:F7" totalsRowShown="0">
  <autoFilter ref="A5:F7" xr:uid="{00000000-0009-0000-0100-000003000000}"/>
  <tableColumns count="6">
    <tableColumn id="1" xr3:uid="{00000000-0010-0000-0400-000001000000}" name="Grupo PJ"/>
    <tableColumn id="2" xr3:uid="{00000000-0010-0000-0400-000002000000}" name="n válido"/>
    <tableColumn id="3" xr3:uid="{00000000-0010-0000-0400-000003000000}" name="n grupo"/>
    <tableColumn id="4" xr3:uid="{00000000-0010-0000-0400-000004000000}" name="Cobertura válida"/>
    <tableColumn id="5" xr3:uid="{00000000-0010-0000-0400-000005000000}" name="Mediana informada (x)"/>
    <tableColumn id="6" xr3:uid="{00000000-0010-0000-0400-000006000000}" name="Status de interpretaçã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_03EfeitoTamanho_11" displayName="T_03EfeitoTamanho_11" ref="A11:F15" totalsRowShown="0">
  <autoFilter ref="A11:F15" xr:uid="{00000000-0009-0000-0100-000004000000}"/>
  <tableColumns count="6">
    <tableColumn id="1" xr3:uid="{00000000-0010-0000-0500-000001000000}" name="Checagem da definição"/>
    <tableColumn id="2" xr3:uid="{00000000-0010-0000-0500-000002000000}" name="Valor"/>
    <tableColumn id="3" xr3:uid="{00000000-0010-0000-0500-000003000000}" name="Unidade"/>
    <tableColumn id="4" xr3:uid="{00000000-0010-0000-0500-000004000000}" name="Condição"/>
    <tableColumn id="5" xr3:uid="{00000000-0010-0000-0500-000005000000}" name="Resultado"/>
    <tableColumn id="6" xr3:uid="{00000000-0010-0000-0500-000006000000}" name="Interpretaçã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_04CasosContrastantes_5" displayName="T_04CasosContrastantes_5" ref="A5:L13" totalsRowShown="0">
  <autoFilter ref="A5:L13" xr:uid="{00000000-0009-0000-0100-000005000000}"/>
  <tableColumns count="12">
    <tableColumn id="1" xr3:uid="{00000000-0010-0000-0600-000001000000}" name="ID"/>
    <tableColumn id="2" xr3:uid="{00000000-0010-0000-0600-000002000000}" name="Processo"/>
    <tableColumn id="3" xr3:uid="{00000000-0010-0000-0600-000003000000}" name="Acusado"/>
    <tableColumn id="4" xr3:uid="{00000000-0010-0000-0600-000004000000}" name="Imputação"/>
    <tableColumn id="5" xr3:uid="{00000000-0010-0000-0600-000005000000}" name="Sessão"/>
    <tableColumn id="6" xr3:uid="{00000000-0010-0000-0600-000006000000}" name="Desfecho CVM"/>
    <tableColumn id="7" xr3:uid="{00000000-0010-0000-0600-000007000000}" name="Fatos documentados"/>
    <tableColumn id="8" xr3:uid="{00000000-0010-0000-0600-000008000000}" name="Fundamento observado"/>
    <tableColumn id="9" xr3:uid="{00000000-0010-0000-0600-000009000000}" name="Contraprova e limite"/>
    <tableColumn id="10" xr3:uid="{00000000-0010-0000-0600-00000A000000}" name="Eixos"/>
    <tableColumn id="11" xr3:uid="{00000000-0010-0000-0600-00000B000000}" name="Fonte e localização"/>
    <tableColumn id="12" xr3:uid="{00000000-0010-0000-0600-00000C000000}" name="Maturidad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_05ExperimentosInovadores_5" displayName="T_05ExperimentosInovadores_5" ref="A5:F11" totalsRowShown="0">
  <autoFilter ref="A5:F11" xr:uid="{00000000-0009-0000-0100-000006000000}"/>
  <tableColumns count="6">
    <tableColumn id="1" xr3:uid="{00000000-0010-0000-0700-000001000000}" name="Experimento"/>
    <tableColumn id="2" xr3:uid="{00000000-0010-0000-0700-000002000000}" name="Pergunta verificável"/>
    <tableColumn id="3" xr3:uid="{00000000-0010-0000-0700-000003000000}" name="Desenho / controle"/>
    <tableColumn id="4" xr3:uid="{00000000-0010-0000-0700-000004000000}" name="Entrega observável"/>
    <tableColumn id="5" xr3:uid="{00000000-0010-0000-0700-000005000000}" name="Limite"/>
    <tableColumn id="6" xr3:uid="{00000000-0010-0000-0700-000006000000}" name="Statu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T_11FontesLimites_5" displayName="T_11FontesLimites_5" ref="A5:F20" totalsRowShown="0">
  <autoFilter ref="A5:F20" xr:uid="{00000000-0009-0000-0100-00000D000000}"/>
  <tableColumns count="6">
    <tableColumn id="1" xr3:uid="{00000000-0010-0000-0D00-000001000000}" name="ID"/>
    <tableColumn id="2" xr3:uid="{00000000-0010-0000-0D00-000002000000}" name="Documento"/>
    <tableColumn id="3" xr3:uid="{00000000-0010-0000-0D00-000003000000}" name="Localização usada"/>
    <tableColumn id="4" xr3:uid="{00000000-0010-0000-0D00-000004000000}" name="Tipo"/>
    <tableColumn id="5" xr3:uid="{00000000-0010-0000-0D00-000005000000}" name="URL / origem"/>
    <tableColumn id="6" xr3:uid="{00000000-0010-0000-0D00-000006000000}" name="Limite de us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F000000}" name="T_13Regulacao_5" displayName="T_13Regulacao_5" ref="A5:G13" totalsRowShown="0">
  <autoFilter ref="A5:G13" xr:uid="{00000000-0009-0000-0100-00000E000000}"/>
  <tableColumns count="7">
    <tableColumn id="1" xr3:uid="{00000000-0010-0000-0F00-000001000000}" name="Referência"/>
    <tableColumn id="2" xr3:uid="{00000000-0010-0000-0F00-000002000000}" name="Dispositivo"/>
    <tableColumn id="3" xr3:uid="{00000000-0010-0000-0F00-000003000000}" name="Conteúdo da referência"/>
    <tableColumn id="4" xr3:uid="{00000000-0010-0000-0F00-000004000000}" name="Tradução para o processo"/>
    <tableColumn id="5" xr3:uid="{00000000-0010-0000-0F00-000005000000}" name="Registro esperado"/>
    <tableColumn id="6" xr3:uid="{00000000-0010-0000-0F00-000006000000}" name="Fonte"/>
    <tableColumn id="7" xr3:uid="{00000000-0010-0000-0F00-000007000000}" name="Aplicação e limit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0000000}" name="T_14Contraprovas_5" displayName="T_14Contraprovas_5" ref="A5:F12" totalsRowShown="0">
  <autoFilter ref="A5:F12" xr:uid="{00000000-0009-0000-0100-00000F000000}"/>
  <tableColumns count="6">
    <tableColumn id="1" xr3:uid="{00000000-0010-0000-1000-000001000000}" name="Candidata"/>
    <tableColumn id="2" xr3:uid="{00000000-0010-0000-1000-000002000000}" name="Documento necessário"/>
    <tableColumn id="3" xr3:uid="{00000000-0010-0000-1000-000003000000}" name="O que pode sustentar"/>
    <tableColumn id="4" xr3:uid="{00000000-0010-0000-1000-000004000000}" name="Limite / teste adicional"/>
    <tableColumn id="5" xr3:uid="{00000000-0010-0000-1000-000005000000}" name="Eixos"/>
    <tableColumn id="6" xr3:uid="{00000000-0010-0000-1000-000006000000}" name="Base ou maturida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showGridLines="0" topLeftCell="A6" workbookViewId="0">
      <selection activeCell="B8" sqref="B8"/>
    </sheetView>
  </sheetViews>
  <sheetFormatPr defaultRowHeight="13.8"/>
  <cols>
    <col min="1" max="1" width="9" customWidth="1"/>
    <col min="2" max="2" width="30" customWidth="1"/>
    <col min="3" max="3" width="32" customWidth="1"/>
    <col min="4" max="4" width="59" customWidth="1"/>
    <col min="5" max="5" width="62" customWidth="1"/>
    <col min="6" max="6" width="63" customWidth="1"/>
    <col min="7" max="7" width="62" customWidth="1"/>
    <col min="8" max="8" width="60" customWidth="1"/>
    <col min="9" max="9" width="38" customWidth="1"/>
  </cols>
  <sheetData>
    <row r="1" spans="1:9" ht="22.95" customHeight="1">
      <c r="A1" s="1"/>
      <c r="B1" s="1"/>
      <c r="C1" s="1"/>
      <c r="D1" s="1"/>
      <c r="E1" s="1"/>
      <c r="F1" s="1"/>
      <c r="G1" s="1"/>
      <c r="H1" s="1"/>
      <c r="I1" s="1"/>
    </row>
    <row r="2" spans="1:9" ht="22.95" customHeight="1">
      <c r="A2" s="2" t="s">
        <v>1</v>
      </c>
      <c r="B2" s="1"/>
      <c r="C2" s="1"/>
      <c r="D2" s="1"/>
      <c r="E2" s="1"/>
      <c r="F2" s="1"/>
      <c r="G2" s="1"/>
      <c r="H2" s="1"/>
      <c r="I2" s="1"/>
    </row>
    <row r="3" spans="1:9" ht="22.95" customHeight="1">
      <c r="A3" s="3"/>
      <c r="B3" s="1"/>
      <c r="C3" s="1"/>
      <c r="D3" s="1"/>
      <c r="E3" s="1"/>
      <c r="F3" s="1"/>
      <c r="G3" s="1"/>
      <c r="H3" s="1"/>
      <c r="I3" s="1"/>
    </row>
    <row r="4" spans="1:9" ht="22.95" customHeight="1">
      <c r="A4" s="4"/>
      <c r="B4" s="4"/>
      <c r="C4" s="4"/>
      <c r="D4" s="4"/>
      <c r="E4" s="4"/>
      <c r="F4" s="4"/>
      <c r="G4" s="4"/>
      <c r="H4" s="4"/>
      <c r="I4" s="4"/>
    </row>
    <row r="5" spans="1:9" ht="37.950000000000003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</row>
    <row r="6" spans="1:9" ht="126" customHeight="1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</row>
    <row r="7" spans="1:9" ht="126" customHeight="1">
      <c r="A7" s="7" t="s">
        <v>20</v>
      </c>
      <c r="B7" s="7" t="s">
        <v>21</v>
      </c>
      <c r="C7" s="7" t="s">
        <v>22</v>
      </c>
      <c r="D7" s="7" t="s">
        <v>23</v>
      </c>
      <c r="E7" s="7" t="s">
        <v>24</v>
      </c>
      <c r="F7" s="7" t="s">
        <v>25</v>
      </c>
      <c r="G7" s="7" t="s">
        <v>26</v>
      </c>
      <c r="H7" s="7" t="s">
        <v>27</v>
      </c>
      <c r="I7" s="7" t="s">
        <v>28</v>
      </c>
    </row>
    <row r="8" spans="1:9" ht="126" customHeight="1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36</v>
      </c>
      <c r="I8" s="5" t="s">
        <v>37</v>
      </c>
    </row>
    <row r="9" spans="1:9" ht="126" customHeight="1">
      <c r="A9" s="7" t="s">
        <v>38</v>
      </c>
      <c r="B9" s="7" t="s">
        <v>39</v>
      </c>
      <c r="C9" s="7" t="s">
        <v>40</v>
      </c>
      <c r="D9" s="7" t="s">
        <v>41</v>
      </c>
      <c r="E9" s="7" t="s">
        <v>42</v>
      </c>
      <c r="F9" s="7" t="s">
        <v>43</v>
      </c>
      <c r="G9" s="7" t="s">
        <v>44</v>
      </c>
      <c r="H9" s="7" t="s">
        <v>45</v>
      </c>
      <c r="I9" s="7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topLeftCell="A4" workbookViewId="0">
      <selection activeCell="D9" sqref="D9"/>
    </sheetView>
  </sheetViews>
  <sheetFormatPr defaultRowHeight="13.8"/>
  <cols>
    <col min="1" max="1" width="37" customWidth="1"/>
    <col min="2" max="3" width="16" customWidth="1"/>
    <col min="4" max="4" width="19" customWidth="1"/>
    <col min="5" max="5" width="21" customWidth="1"/>
    <col min="6" max="6" width="65" customWidth="1"/>
  </cols>
  <sheetData>
    <row r="1" spans="1:6" ht="22.95" customHeight="1">
      <c r="A1" s="1"/>
      <c r="B1" s="1"/>
      <c r="C1" s="1"/>
      <c r="D1" s="1"/>
      <c r="E1" s="1"/>
      <c r="F1" s="1"/>
    </row>
    <row r="2" spans="1:6" ht="22.95" customHeight="1">
      <c r="A2" s="2" t="s">
        <v>48</v>
      </c>
      <c r="B2" s="1"/>
      <c r="C2" s="1"/>
      <c r="D2" s="1"/>
      <c r="E2" s="1"/>
      <c r="F2" s="1"/>
    </row>
    <row r="3" spans="1:6" ht="22.95" customHeight="1">
      <c r="A3" s="3" t="s">
        <v>49</v>
      </c>
      <c r="B3" s="1"/>
      <c r="C3" s="1"/>
      <c r="D3" s="1"/>
      <c r="E3" s="1"/>
      <c r="F3" s="1"/>
    </row>
    <row r="4" spans="1:6" ht="22.95" customHeight="1">
      <c r="A4" s="4"/>
      <c r="B4" s="4"/>
      <c r="C4" s="4"/>
      <c r="D4" s="4"/>
      <c r="E4" s="4"/>
      <c r="F4" s="4"/>
    </row>
    <row r="5" spans="1:6" ht="37.950000000000003" customHeight="1">
      <c r="A5" s="6" t="s">
        <v>50</v>
      </c>
      <c r="B5" s="6" t="s">
        <v>51</v>
      </c>
      <c r="C5" s="6" t="s">
        <v>52</v>
      </c>
      <c r="D5" s="6" t="s">
        <v>53</v>
      </c>
      <c r="E5" s="6" t="s">
        <v>54</v>
      </c>
      <c r="F5" s="6" t="s">
        <v>55</v>
      </c>
    </row>
    <row r="6" spans="1:6" ht="64.05" customHeight="1">
      <c r="A6" s="5" t="s">
        <v>56</v>
      </c>
      <c r="B6" s="5">
        <v>59</v>
      </c>
      <c r="C6" s="5">
        <v>100</v>
      </c>
      <c r="D6" s="8">
        <f>B6/C6</f>
        <v>0.59</v>
      </c>
      <c r="E6" s="10">
        <v>38.188640999999997</v>
      </c>
      <c r="F6" s="5" t="s">
        <v>57</v>
      </c>
    </row>
    <row r="7" spans="1:6" ht="64.05" customHeight="1">
      <c r="A7" s="7" t="s">
        <v>47</v>
      </c>
      <c r="B7" s="7">
        <v>53</v>
      </c>
      <c r="C7" s="7">
        <v>91</v>
      </c>
      <c r="D7" s="9">
        <f>B7/C7</f>
        <v>0.58241758241758246</v>
      </c>
      <c r="E7" s="11">
        <v>118.90233600000001</v>
      </c>
      <c r="F7" s="7" t="s">
        <v>58</v>
      </c>
    </row>
    <row r="11" spans="1:6" ht="37.950000000000003" customHeight="1">
      <c r="A11" s="6" t="s">
        <v>59</v>
      </c>
      <c r="B11" s="6" t="s">
        <v>0</v>
      </c>
      <c r="C11" s="6" t="s">
        <v>60</v>
      </c>
      <c r="D11" s="6" t="s">
        <v>61</v>
      </c>
      <c r="E11" s="6" t="s">
        <v>62</v>
      </c>
      <c r="F11" s="6" t="s">
        <v>63</v>
      </c>
    </row>
    <row r="12" spans="1:6" ht="67.95" customHeight="1">
      <c r="A12" s="5" t="s">
        <v>64</v>
      </c>
      <c r="B12" s="5">
        <v>15</v>
      </c>
      <c r="C12" s="5" t="s">
        <v>65</v>
      </c>
      <c r="D12" s="5" t="s">
        <v>66</v>
      </c>
      <c r="E12" s="5"/>
      <c r="F12" s="5" t="s">
        <v>67</v>
      </c>
    </row>
    <row r="13" spans="1:6" ht="67.95" customHeight="1">
      <c r="A13" s="7" t="s">
        <v>68</v>
      </c>
      <c r="B13" s="7">
        <v>120</v>
      </c>
      <c r="C13" s="7" t="s">
        <v>65</v>
      </c>
      <c r="D13" s="7" t="s">
        <v>69</v>
      </c>
      <c r="E13" s="7"/>
      <c r="F13" s="7" t="s">
        <v>70</v>
      </c>
    </row>
    <row r="14" spans="1:6" ht="67.95" customHeight="1">
      <c r="A14" s="5" t="s">
        <v>71</v>
      </c>
      <c r="B14" s="12">
        <f>B13/B12</f>
        <v>8</v>
      </c>
      <c r="C14" s="5" t="s">
        <v>72</v>
      </c>
      <c r="D14" s="5" t="s">
        <v>73</v>
      </c>
      <c r="E14" s="5"/>
      <c r="F14" s="5" t="s">
        <v>74</v>
      </c>
    </row>
    <row r="15" spans="1:6" ht="67.95" customHeight="1">
      <c r="A15" s="7" t="s">
        <v>75</v>
      </c>
      <c r="B15" s="7"/>
      <c r="C15" s="7"/>
      <c r="D15" s="7" t="s">
        <v>76</v>
      </c>
      <c r="E15" s="7"/>
      <c r="F15" s="7" t="s">
        <v>77</v>
      </c>
    </row>
    <row r="17" spans="1:6" ht="58.05" customHeight="1">
      <c r="A17" s="15" t="s">
        <v>78</v>
      </c>
      <c r="B17" s="16"/>
      <c r="C17" s="16"/>
      <c r="D17" s="16"/>
      <c r="E17" s="16"/>
      <c r="F17" s="16"/>
    </row>
    <row r="18" spans="1:6">
      <c r="A18" s="16"/>
      <c r="B18" s="16"/>
      <c r="C18" s="16"/>
      <c r="D18" s="16"/>
      <c r="E18" s="16"/>
      <c r="F18" s="16"/>
    </row>
  </sheetData>
  <mergeCells count="1">
    <mergeCell ref="A17:F18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showGridLines="0" tabSelected="1" workbookViewId="0">
      <pane xSplit="3" ySplit="5" topLeftCell="D12" activePane="bottomRight" state="frozen"/>
      <selection pane="topRight"/>
      <selection pane="bottomLeft"/>
      <selection pane="bottomRight" activeCell="F20" sqref="F20"/>
    </sheetView>
  </sheetViews>
  <sheetFormatPr defaultRowHeight="13.8"/>
  <cols>
    <col min="1" max="1" width="24" customWidth="1"/>
    <col min="2" max="3" width="31" customWidth="1"/>
    <col min="4" max="4" width="32" customWidth="1"/>
    <col min="5" max="5" width="16" customWidth="1"/>
    <col min="6" max="6" width="43" customWidth="1"/>
    <col min="7" max="7" width="68" customWidth="1"/>
    <col min="8" max="9" width="72" customWidth="1"/>
    <col min="10" max="10" width="18" customWidth="1"/>
    <col min="11" max="11" width="55" customWidth="1"/>
    <col min="12" max="12" width="53" customWidth="1"/>
  </cols>
  <sheetData>
    <row r="1" spans="1:12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.95" customHeight="1">
      <c r="A2" s="2" t="s">
        <v>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.95" customHeight="1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9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37.950000000000003" customHeight="1">
      <c r="A5" s="6" t="s">
        <v>2</v>
      </c>
      <c r="B5" s="6" t="s">
        <v>80</v>
      </c>
      <c r="C5" s="6" t="s">
        <v>81</v>
      </c>
      <c r="D5" s="6" t="s">
        <v>82</v>
      </c>
      <c r="E5" s="6" t="s">
        <v>83</v>
      </c>
      <c r="F5" s="6" t="s">
        <v>84</v>
      </c>
      <c r="G5" s="6" t="s">
        <v>85</v>
      </c>
      <c r="H5" s="6" t="s">
        <v>86</v>
      </c>
      <c r="I5" s="6" t="s">
        <v>87</v>
      </c>
      <c r="J5" s="6" t="s">
        <v>88</v>
      </c>
      <c r="K5" s="6" t="s">
        <v>89</v>
      </c>
      <c r="L5" s="6" t="s">
        <v>10</v>
      </c>
    </row>
    <row r="6" spans="1:12" ht="108" customHeight="1">
      <c r="A6" s="5" t="s">
        <v>90</v>
      </c>
      <c r="B6" s="5" t="s">
        <v>91</v>
      </c>
      <c r="C6" s="5" t="s">
        <v>92</v>
      </c>
      <c r="D6" s="5" t="s">
        <v>93</v>
      </c>
      <c r="E6" s="13">
        <v>43431</v>
      </c>
      <c r="F6" s="5" t="s">
        <v>94</v>
      </c>
      <c r="G6" s="5" t="s">
        <v>95</v>
      </c>
      <c r="H6" s="5" t="s">
        <v>96</v>
      </c>
      <c r="I6" s="5" t="s">
        <v>97</v>
      </c>
      <c r="J6" s="5" t="s">
        <v>98</v>
      </c>
      <c r="K6" s="5" t="s">
        <v>99</v>
      </c>
      <c r="L6" s="5" t="s">
        <v>100</v>
      </c>
    </row>
    <row r="7" spans="1:12" ht="108" customHeight="1">
      <c r="A7" s="7" t="s">
        <v>101</v>
      </c>
      <c r="B7" s="7" t="s">
        <v>91</v>
      </c>
      <c r="C7" s="7" t="s">
        <v>102</v>
      </c>
      <c r="D7" s="7" t="s">
        <v>93</v>
      </c>
      <c r="E7" s="14">
        <v>43431</v>
      </c>
      <c r="F7" s="7" t="s">
        <v>103</v>
      </c>
      <c r="G7" s="7" t="s">
        <v>104</v>
      </c>
      <c r="H7" s="7" t="s">
        <v>105</v>
      </c>
      <c r="I7" s="7" t="s">
        <v>106</v>
      </c>
      <c r="J7" s="7" t="s">
        <v>107</v>
      </c>
      <c r="K7" s="7" t="s">
        <v>108</v>
      </c>
      <c r="L7" s="7" t="s">
        <v>100</v>
      </c>
    </row>
    <row r="8" spans="1:12" ht="108" customHeight="1">
      <c r="A8" s="5" t="s">
        <v>109</v>
      </c>
      <c r="B8" s="5" t="s">
        <v>91</v>
      </c>
      <c r="C8" s="5" t="s">
        <v>110</v>
      </c>
      <c r="D8" s="5" t="s">
        <v>93</v>
      </c>
      <c r="E8" s="13">
        <v>43431</v>
      </c>
      <c r="F8" s="5" t="s">
        <v>111</v>
      </c>
      <c r="G8" s="5" t="s">
        <v>112</v>
      </c>
      <c r="H8" s="5" t="s">
        <v>113</v>
      </c>
      <c r="I8" s="5" t="s">
        <v>114</v>
      </c>
      <c r="J8" s="5" t="s">
        <v>115</v>
      </c>
      <c r="K8" s="5" t="s">
        <v>99</v>
      </c>
      <c r="L8" s="5" t="s">
        <v>116</v>
      </c>
    </row>
    <row r="9" spans="1:12" ht="108" customHeight="1">
      <c r="A9" s="7" t="s">
        <v>117</v>
      </c>
      <c r="B9" s="7" t="s">
        <v>118</v>
      </c>
      <c r="C9" s="7" t="s">
        <v>119</v>
      </c>
      <c r="D9" s="7" t="s">
        <v>93</v>
      </c>
      <c r="E9" s="14">
        <v>43998</v>
      </c>
      <c r="F9" s="7" t="s">
        <v>120</v>
      </c>
      <c r="G9" s="7" t="s">
        <v>121</v>
      </c>
      <c r="H9" s="7" t="s">
        <v>122</v>
      </c>
      <c r="I9" s="7" t="s">
        <v>123</v>
      </c>
      <c r="J9" s="7" t="s">
        <v>107</v>
      </c>
      <c r="K9" s="7" t="s">
        <v>124</v>
      </c>
      <c r="L9" s="7" t="s">
        <v>100</v>
      </c>
    </row>
    <row r="10" spans="1:12" ht="108" customHeight="1">
      <c r="A10" s="5" t="s">
        <v>125</v>
      </c>
      <c r="B10" s="5" t="s">
        <v>126</v>
      </c>
      <c r="C10" s="5" t="s">
        <v>127</v>
      </c>
      <c r="D10" s="5" t="s">
        <v>93</v>
      </c>
      <c r="E10" s="13">
        <v>45524</v>
      </c>
      <c r="F10" s="5" t="s">
        <v>111</v>
      </c>
      <c r="G10" s="5" t="s">
        <v>128</v>
      </c>
      <c r="H10" s="5" t="s">
        <v>129</v>
      </c>
      <c r="I10" s="5" t="s">
        <v>130</v>
      </c>
      <c r="J10" s="5" t="s">
        <v>107</v>
      </c>
      <c r="K10" s="5" t="s">
        <v>131</v>
      </c>
      <c r="L10" s="5" t="s">
        <v>132</v>
      </c>
    </row>
    <row r="11" spans="1:12" ht="108" customHeight="1">
      <c r="A11" s="7" t="s">
        <v>133</v>
      </c>
      <c r="B11" s="7" t="s">
        <v>126</v>
      </c>
      <c r="C11" s="7" t="s">
        <v>134</v>
      </c>
      <c r="D11" s="7" t="s">
        <v>93</v>
      </c>
      <c r="E11" s="14">
        <v>45524</v>
      </c>
      <c r="F11" s="7" t="s">
        <v>111</v>
      </c>
      <c r="G11" s="7" t="s">
        <v>135</v>
      </c>
      <c r="H11" s="7" t="s">
        <v>136</v>
      </c>
      <c r="I11" s="7" t="s">
        <v>137</v>
      </c>
      <c r="J11" s="7" t="s">
        <v>115</v>
      </c>
      <c r="K11" s="7" t="s">
        <v>138</v>
      </c>
      <c r="L11" s="7" t="s">
        <v>139</v>
      </c>
    </row>
    <row r="12" spans="1:12" ht="108" customHeight="1">
      <c r="A12" s="5" t="s">
        <v>140</v>
      </c>
      <c r="B12" s="5" t="s">
        <v>141</v>
      </c>
      <c r="C12" s="5" t="s">
        <v>142</v>
      </c>
      <c r="D12" s="5" t="s">
        <v>93</v>
      </c>
      <c r="E12" s="13">
        <v>43795</v>
      </c>
      <c r="F12" s="5" t="s">
        <v>111</v>
      </c>
      <c r="G12" s="5" t="s">
        <v>143</v>
      </c>
      <c r="H12" s="5" t="s">
        <v>144</v>
      </c>
      <c r="I12" s="5" t="s">
        <v>145</v>
      </c>
      <c r="J12" s="5" t="s">
        <v>98</v>
      </c>
      <c r="K12" s="5" t="s">
        <v>146</v>
      </c>
      <c r="L12" s="5" t="s">
        <v>147</v>
      </c>
    </row>
    <row r="13" spans="1:12" ht="108" customHeight="1">
      <c r="A13" s="7" t="s">
        <v>148</v>
      </c>
      <c r="B13" s="7" t="s">
        <v>149</v>
      </c>
      <c r="C13" s="7" t="s">
        <v>150</v>
      </c>
      <c r="D13" s="7" t="s">
        <v>93</v>
      </c>
      <c r="E13" s="14">
        <v>42899</v>
      </c>
      <c r="F13" s="7" t="s">
        <v>151</v>
      </c>
      <c r="G13" s="7" t="s">
        <v>152</v>
      </c>
      <c r="H13" s="7" t="s">
        <v>153</v>
      </c>
      <c r="I13" s="7" t="s">
        <v>154</v>
      </c>
      <c r="J13" s="7" t="s">
        <v>115</v>
      </c>
      <c r="K13" s="7" t="s">
        <v>155</v>
      </c>
      <c r="L13" s="7" t="s">
        <v>156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showGridLines="0" topLeftCell="A2" workbookViewId="0"/>
  </sheetViews>
  <sheetFormatPr defaultRowHeight="13.8"/>
  <cols>
    <col min="1" max="1" width="33" customWidth="1"/>
    <col min="2" max="2" width="62" customWidth="1"/>
    <col min="3" max="3" width="66" customWidth="1"/>
    <col min="4" max="4" width="62" customWidth="1"/>
    <col min="5" max="5" width="66" customWidth="1"/>
    <col min="6" max="6" width="45" customWidth="1"/>
  </cols>
  <sheetData>
    <row r="1" spans="1:6" ht="22.95" customHeight="1">
      <c r="A1" s="1"/>
      <c r="B1" s="1"/>
      <c r="C1" s="1"/>
      <c r="D1" s="1"/>
      <c r="E1" s="1"/>
      <c r="F1" s="1"/>
    </row>
    <row r="2" spans="1:6" ht="22.95" customHeight="1">
      <c r="A2" s="2" t="s">
        <v>157</v>
      </c>
      <c r="B2" s="1"/>
      <c r="C2" s="1"/>
      <c r="D2" s="1"/>
      <c r="E2" s="1"/>
      <c r="F2" s="1"/>
    </row>
    <row r="3" spans="1:6" ht="22.95" customHeight="1">
      <c r="A3" s="3" t="s">
        <v>158</v>
      </c>
      <c r="B3" s="1"/>
      <c r="C3" s="1"/>
      <c r="D3" s="1"/>
      <c r="E3" s="1"/>
      <c r="F3" s="1"/>
    </row>
    <row r="4" spans="1:6" ht="22.95" customHeight="1">
      <c r="A4" s="4"/>
      <c r="B4" s="4"/>
      <c r="C4" s="4"/>
      <c r="D4" s="4"/>
      <c r="E4" s="4"/>
      <c r="F4" s="4"/>
    </row>
    <row r="5" spans="1:6" ht="37.950000000000003" customHeight="1">
      <c r="A5" s="6" t="s">
        <v>159</v>
      </c>
      <c r="B5" s="6" t="s">
        <v>160</v>
      </c>
      <c r="C5" s="6" t="s">
        <v>161</v>
      </c>
      <c r="D5" s="6" t="s">
        <v>162</v>
      </c>
      <c r="E5" s="6" t="s">
        <v>163</v>
      </c>
      <c r="F5" s="6" t="s">
        <v>164</v>
      </c>
    </row>
    <row r="6" spans="1:6" ht="100.05" customHeight="1">
      <c r="A6" s="5" t="s">
        <v>165</v>
      </c>
      <c r="B6" s="5" t="s">
        <v>166</v>
      </c>
      <c r="C6" s="5" t="s">
        <v>167</v>
      </c>
      <c r="D6" s="5" t="s">
        <v>168</v>
      </c>
      <c r="E6" s="5" t="s">
        <v>169</v>
      </c>
      <c r="F6" s="5" t="s">
        <v>170</v>
      </c>
    </row>
    <row r="7" spans="1:6" ht="100.05" customHeight="1">
      <c r="A7" s="7" t="s">
        <v>171</v>
      </c>
      <c r="B7" s="7" t="s">
        <v>172</v>
      </c>
      <c r="C7" s="7" t="s">
        <v>173</v>
      </c>
      <c r="D7" s="7" t="s">
        <v>174</v>
      </c>
      <c r="E7" s="7" t="s">
        <v>175</v>
      </c>
      <c r="F7" s="7" t="s">
        <v>176</v>
      </c>
    </row>
    <row r="8" spans="1:6" ht="100.05" customHeight="1">
      <c r="A8" s="5" t="s">
        <v>177</v>
      </c>
      <c r="B8" s="5" t="s">
        <v>178</v>
      </c>
      <c r="C8" s="5" t="s">
        <v>179</v>
      </c>
      <c r="D8" s="5" t="s">
        <v>180</v>
      </c>
      <c r="E8" s="5" t="s">
        <v>181</v>
      </c>
      <c r="F8" s="5" t="s">
        <v>182</v>
      </c>
    </row>
    <row r="9" spans="1:6" ht="100.05" customHeight="1">
      <c r="A9" s="7" t="s">
        <v>183</v>
      </c>
      <c r="B9" s="7" t="s">
        <v>184</v>
      </c>
      <c r="C9" s="7" t="s">
        <v>185</v>
      </c>
      <c r="D9" s="7" t="s">
        <v>186</v>
      </c>
      <c r="E9" s="7" t="s">
        <v>187</v>
      </c>
      <c r="F9" s="7" t="s">
        <v>188</v>
      </c>
    </row>
    <row r="10" spans="1:6" ht="100.05" customHeight="1">
      <c r="A10" s="5" t="s">
        <v>189</v>
      </c>
      <c r="B10" s="5" t="s">
        <v>190</v>
      </c>
      <c r="C10" s="5" t="s">
        <v>191</v>
      </c>
      <c r="D10" s="5" t="s">
        <v>192</v>
      </c>
      <c r="E10" s="5" t="s">
        <v>193</v>
      </c>
      <c r="F10" s="5" t="s">
        <v>194</v>
      </c>
    </row>
    <row r="11" spans="1:6" ht="100.05" customHeight="1">
      <c r="A11" s="7" t="s">
        <v>195</v>
      </c>
      <c r="B11" s="7" t="s">
        <v>196</v>
      </c>
      <c r="C11" s="7" t="s">
        <v>197</v>
      </c>
      <c r="D11" s="7" t="s">
        <v>198</v>
      </c>
      <c r="E11" s="7" t="s">
        <v>199</v>
      </c>
      <c r="F11" s="7" t="s">
        <v>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14" sqref="C14"/>
    </sheetView>
  </sheetViews>
  <sheetFormatPr defaultRowHeight="13.8"/>
  <cols>
    <col min="1" max="1" width="12" customWidth="1"/>
    <col min="2" max="2" width="66" customWidth="1"/>
    <col min="3" max="3" width="83" customWidth="1"/>
    <col min="4" max="4" width="29" customWidth="1"/>
    <col min="5" max="5" width="98" customWidth="1"/>
    <col min="6" max="6" width="96" customWidth="1"/>
  </cols>
  <sheetData>
    <row r="1" spans="1:6" ht="22.95" customHeight="1">
      <c r="A1" s="1"/>
      <c r="B1" s="1"/>
      <c r="C1" s="1"/>
      <c r="D1" s="1"/>
      <c r="E1" s="1"/>
      <c r="F1" s="1"/>
    </row>
    <row r="2" spans="1:6" ht="22.95" customHeight="1">
      <c r="A2" s="2" t="s">
        <v>204</v>
      </c>
      <c r="B2" s="1"/>
      <c r="C2" s="1"/>
      <c r="D2" s="1"/>
      <c r="E2" s="1"/>
      <c r="F2" s="1"/>
    </row>
    <row r="3" spans="1:6" ht="22.95" customHeight="1">
      <c r="A3" s="3" t="s">
        <v>205</v>
      </c>
      <c r="B3" s="1"/>
      <c r="C3" s="1"/>
      <c r="D3" s="1"/>
      <c r="E3" s="1"/>
      <c r="F3" s="1"/>
    </row>
    <row r="4" spans="1:6" ht="22.95" customHeight="1">
      <c r="A4" s="4"/>
      <c r="B4" s="4"/>
      <c r="C4" s="4"/>
      <c r="D4" s="4"/>
      <c r="E4" s="4"/>
      <c r="F4" s="4"/>
    </row>
    <row r="5" spans="1:6" ht="37.950000000000003" customHeight="1">
      <c r="A5" s="6" t="s">
        <v>2</v>
      </c>
      <c r="B5" s="6" t="s">
        <v>206</v>
      </c>
      <c r="C5" s="6" t="s">
        <v>207</v>
      </c>
      <c r="D5" s="6" t="s">
        <v>208</v>
      </c>
      <c r="E5" s="6" t="s">
        <v>209</v>
      </c>
      <c r="F5" s="6" t="s">
        <v>210</v>
      </c>
    </row>
    <row r="6" spans="1:6" ht="94.05" customHeight="1">
      <c r="A6" s="5" t="s">
        <v>202</v>
      </c>
      <c r="B6" s="5" t="s">
        <v>211</v>
      </c>
      <c r="C6" s="5" t="s">
        <v>212</v>
      </c>
      <c r="D6" s="5" t="s">
        <v>213</v>
      </c>
      <c r="E6" s="5" t="s">
        <v>214</v>
      </c>
      <c r="F6" s="5" t="s">
        <v>215</v>
      </c>
    </row>
    <row r="7" spans="1:6" ht="94.05" customHeight="1">
      <c r="A7" s="7" t="s">
        <v>216</v>
      </c>
      <c r="B7" s="7" t="s">
        <v>217</v>
      </c>
      <c r="C7" s="7" t="s">
        <v>218</v>
      </c>
      <c r="D7" s="7" t="s">
        <v>219</v>
      </c>
      <c r="E7" s="7" t="s">
        <v>220</v>
      </c>
      <c r="F7" s="7" t="s">
        <v>221</v>
      </c>
    </row>
    <row r="8" spans="1:6" ht="94.05" customHeight="1">
      <c r="A8" s="5" t="s">
        <v>222</v>
      </c>
      <c r="B8" s="5" t="s">
        <v>223</v>
      </c>
      <c r="C8" s="5" t="s">
        <v>224</v>
      </c>
      <c r="D8" s="5" t="s">
        <v>219</v>
      </c>
      <c r="E8" s="5" t="s">
        <v>225</v>
      </c>
      <c r="F8" s="5" t="s">
        <v>226</v>
      </c>
    </row>
    <row r="9" spans="1:6" ht="94.05" customHeight="1">
      <c r="A9" s="7" t="s">
        <v>227</v>
      </c>
      <c r="B9" s="7" t="s">
        <v>228</v>
      </c>
      <c r="C9" s="7" t="s">
        <v>229</v>
      </c>
      <c r="D9" s="7" t="s">
        <v>230</v>
      </c>
      <c r="E9" s="7" t="s">
        <v>231</v>
      </c>
      <c r="F9" s="7" t="s">
        <v>232</v>
      </c>
    </row>
    <row r="10" spans="1:6" ht="94.05" customHeight="1">
      <c r="A10" s="5" t="s">
        <v>233</v>
      </c>
      <c r="B10" s="5" t="s">
        <v>234</v>
      </c>
      <c r="C10" s="5" t="s">
        <v>235</v>
      </c>
      <c r="D10" s="5" t="s">
        <v>236</v>
      </c>
      <c r="E10" s="5" t="s">
        <v>237</v>
      </c>
      <c r="F10" s="5" t="s">
        <v>238</v>
      </c>
    </row>
    <row r="11" spans="1:6" ht="94.05" customHeight="1">
      <c r="A11" s="7" t="s">
        <v>239</v>
      </c>
      <c r="B11" s="7" t="s">
        <v>240</v>
      </c>
      <c r="C11" s="7" t="s">
        <v>241</v>
      </c>
      <c r="D11" s="7" t="s">
        <v>236</v>
      </c>
      <c r="E11" s="7" t="s">
        <v>242</v>
      </c>
      <c r="F11" s="7" t="s">
        <v>243</v>
      </c>
    </row>
    <row r="12" spans="1:6" ht="94.05" customHeight="1">
      <c r="A12" s="5" t="s">
        <v>244</v>
      </c>
      <c r="B12" s="5" t="s">
        <v>245</v>
      </c>
      <c r="C12" s="5" t="s">
        <v>246</v>
      </c>
      <c r="D12" s="5" t="s">
        <v>230</v>
      </c>
      <c r="E12" s="5" t="s">
        <v>247</v>
      </c>
      <c r="F12" s="5" t="s">
        <v>248</v>
      </c>
    </row>
    <row r="13" spans="1:6" ht="94.05" customHeight="1">
      <c r="A13" s="7" t="s">
        <v>249</v>
      </c>
      <c r="B13" s="7" t="s">
        <v>250</v>
      </c>
      <c r="C13" s="7" t="s">
        <v>251</v>
      </c>
      <c r="D13" s="7" t="s">
        <v>236</v>
      </c>
      <c r="E13" s="7" t="s">
        <v>252</v>
      </c>
      <c r="F13" s="7" t="s">
        <v>253</v>
      </c>
    </row>
    <row r="14" spans="1:6" ht="94.05" customHeight="1">
      <c r="A14" s="5" t="s">
        <v>254</v>
      </c>
      <c r="B14" s="5" t="s">
        <v>255</v>
      </c>
      <c r="C14" s="5" t="s">
        <v>256</v>
      </c>
      <c r="D14" s="5" t="s">
        <v>257</v>
      </c>
      <c r="E14" s="5" t="s">
        <v>258</v>
      </c>
      <c r="F14" s="5" t="s">
        <v>259</v>
      </c>
    </row>
    <row r="15" spans="1:6" ht="94.05" customHeight="1">
      <c r="A15" s="7" t="s">
        <v>260</v>
      </c>
      <c r="B15" s="7" t="s">
        <v>261</v>
      </c>
      <c r="C15" s="7" t="s">
        <v>262</v>
      </c>
      <c r="D15" s="7" t="s">
        <v>230</v>
      </c>
      <c r="E15" s="7" t="s">
        <v>263</v>
      </c>
      <c r="F15" s="7" t="s">
        <v>264</v>
      </c>
    </row>
    <row r="16" spans="1:6" ht="94.05" customHeight="1">
      <c r="A16" s="5" t="s">
        <v>265</v>
      </c>
      <c r="B16" s="5" t="s">
        <v>266</v>
      </c>
      <c r="C16" s="5" t="s">
        <v>267</v>
      </c>
      <c r="D16" s="5" t="s">
        <v>236</v>
      </c>
      <c r="E16" s="5" t="s">
        <v>268</v>
      </c>
      <c r="F16" s="5" t="s">
        <v>269</v>
      </c>
    </row>
    <row r="17" spans="1:6" ht="94.05" customHeight="1">
      <c r="A17" s="7" t="s">
        <v>270</v>
      </c>
      <c r="B17" s="7" t="s">
        <v>271</v>
      </c>
      <c r="C17" s="7" t="s">
        <v>272</v>
      </c>
      <c r="D17" s="7" t="s">
        <v>236</v>
      </c>
      <c r="E17" s="7" t="s">
        <v>273</v>
      </c>
      <c r="F17" s="7" t="s">
        <v>274</v>
      </c>
    </row>
    <row r="18" spans="1:6" ht="94.05" customHeight="1">
      <c r="A18" s="5" t="s">
        <v>275</v>
      </c>
      <c r="B18" s="5" t="s">
        <v>276</v>
      </c>
      <c r="C18" s="5" t="s">
        <v>277</v>
      </c>
      <c r="D18" s="5" t="s">
        <v>230</v>
      </c>
      <c r="E18" s="5" t="s">
        <v>278</v>
      </c>
      <c r="F18" s="5" t="s">
        <v>279</v>
      </c>
    </row>
    <row r="19" spans="1:6" ht="94.05" customHeight="1">
      <c r="A19" s="7" t="s">
        <v>203</v>
      </c>
      <c r="B19" s="7" t="s">
        <v>280</v>
      </c>
      <c r="C19" s="7" t="s">
        <v>281</v>
      </c>
      <c r="D19" s="7" t="s">
        <v>282</v>
      </c>
      <c r="E19" s="7" t="s">
        <v>283</v>
      </c>
      <c r="F19" s="7" t="s">
        <v>284</v>
      </c>
    </row>
    <row r="20" spans="1:6" ht="94.05" customHeight="1">
      <c r="A20" s="5" t="s">
        <v>285</v>
      </c>
      <c r="B20" s="5" t="s">
        <v>286</v>
      </c>
      <c r="C20" s="5" t="s">
        <v>287</v>
      </c>
      <c r="D20" s="5" t="s">
        <v>230</v>
      </c>
      <c r="E20" s="5" t="s">
        <v>288</v>
      </c>
      <c r="F20" s="5" t="s">
        <v>289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showGridLines="0" workbookViewId="0">
      <selection activeCell="C7" sqref="C7"/>
    </sheetView>
  </sheetViews>
  <sheetFormatPr defaultRowHeight="13.8"/>
  <cols>
    <col min="1" max="1" width="24" customWidth="1"/>
    <col min="2" max="2" width="42" customWidth="1"/>
    <col min="3" max="3" width="87" customWidth="1"/>
    <col min="4" max="4" width="83" customWidth="1"/>
    <col min="5" max="5" width="76" customWidth="1"/>
    <col min="6" max="6" width="18" customWidth="1"/>
    <col min="7" max="7" width="77" customWidth="1"/>
  </cols>
  <sheetData>
    <row r="1" spans="1:7" ht="22.95" customHeight="1">
      <c r="A1" s="1"/>
      <c r="B1" s="1"/>
      <c r="C1" s="1"/>
      <c r="D1" s="1"/>
      <c r="E1" s="1"/>
      <c r="F1" s="1"/>
      <c r="G1" s="1"/>
    </row>
    <row r="2" spans="1:7" ht="22.95" customHeight="1">
      <c r="A2" s="2" t="s">
        <v>290</v>
      </c>
      <c r="B2" s="1"/>
      <c r="C2" s="1"/>
      <c r="D2" s="1"/>
      <c r="E2" s="1"/>
      <c r="F2" s="1"/>
      <c r="G2" s="1"/>
    </row>
    <row r="3" spans="1:7" ht="22.95" customHeight="1">
      <c r="A3" s="3" t="s">
        <v>291</v>
      </c>
      <c r="B3" s="1"/>
      <c r="C3" s="1"/>
      <c r="D3" s="1"/>
      <c r="E3" s="1"/>
      <c r="F3" s="1"/>
      <c r="G3" s="1"/>
    </row>
    <row r="4" spans="1:7" ht="22.95" customHeight="1">
      <c r="A4" s="4"/>
      <c r="B4" s="4"/>
      <c r="C4" s="4"/>
      <c r="D4" s="4"/>
      <c r="E4" s="4"/>
      <c r="F4" s="4"/>
      <c r="G4" s="4"/>
    </row>
    <row r="5" spans="1:7" ht="37.950000000000003" customHeight="1">
      <c r="A5" s="6" t="s">
        <v>292</v>
      </c>
      <c r="B5" s="6" t="s">
        <v>293</v>
      </c>
      <c r="C5" s="6" t="s">
        <v>294</v>
      </c>
      <c r="D5" s="6" t="s">
        <v>295</v>
      </c>
      <c r="E5" s="6" t="s">
        <v>296</v>
      </c>
      <c r="F5" s="6" t="s">
        <v>201</v>
      </c>
      <c r="G5" s="6" t="s">
        <v>297</v>
      </c>
    </row>
    <row r="6" spans="1:7" ht="136.05000000000001" customHeight="1">
      <c r="A6" s="5" t="s">
        <v>298</v>
      </c>
      <c r="B6" s="5" t="s">
        <v>299</v>
      </c>
      <c r="C6" s="5" t="s">
        <v>300</v>
      </c>
      <c r="D6" s="5" t="s">
        <v>301</v>
      </c>
      <c r="E6" s="5" t="s">
        <v>302</v>
      </c>
      <c r="F6" s="5" t="s">
        <v>216</v>
      </c>
      <c r="G6" s="5" t="s">
        <v>303</v>
      </c>
    </row>
    <row r="7" spans="1:7" ht="136.05000000000001" customHeight="1">
      <c r="A7" s="7" t="s">
        <v>298</v>
      </c>
      <c r="B7" s="7" t="s">
        <v>304</v>
      </c>
      <c r="C7" s="7" t="s">
        <v>305</v>
      </c>
      <c r="D7" s="7" t="s">
        <v>306</v>
      </c>
      <c r="E7" s="7" t="s">
        <v>307</v>
      </c>
      <c r="F7" s="7" t="s">
        <v>216</v>
      </c>
      <c r="G7" s="7" t="s">
        <v>308</v>
      </c>
    </row>
    <row r="8" spans="1:7" ht="136.05000000000001" customHeight="1">
      <c r="A8" s="5" t="s">
        <v>298</v>
      </c>
      <c r="B8" s="5" t="s">
        <v>309</v>
      </c>
      <c r="C8" s="5" t="s">
        <v>310</v>
      </c>
      <c r="D8" s="5" t="s">
        <v>311</v>
      </c>
      <c r="E8" s="5" t="s">
        <v>312</v>
      </c>
      <c r="F8" s="5" t="s">
        <v>216</v>
      </c>
      <c r="G8" s="5" t="s">
        <v>313</v>
      </c>
    </row>
    <row r="9" spans="1:7" ht="136.05000000000001" customHeight="1">
      <c r="A9" s="7" t="s">
        <v>314</v>
      </c>
      <c r="B9" s="7" t="s">
        <v>315</v>
      </c>
      <c r="C9" s="7" t="s">
        <v>316</v>
      </c>
      <c r="D9" s="7" t="s">
        <v>317</v>
      </c>
      <c r="E9" s="7" t="s">
        <v>318</v>
      </c>
      <c r="F9" s="7" t="s">
        <v>222</v>
      </c>
      <c r="G9" s="7" t="s">
        <v>319</v>
      </c>
    </row>
    <row r="10" spans="1:7" ht="136.05000000000001" customHeight="1">
      <c r="A10" s="5" t="s">
        <v>314</v>
      </c>
      <c r="B10" s="5" t="s">
        <v>320</v>
      </c>
      <c r="C10" s="5" t="s">
        <v>321</v>
      </c>
      <c r="D10" s="5" t="s">
        <v>322</v>
      </c>
      <c r="E10" s="5" t="s">
        <v>323</v>
      </c>
      <c r="F10" s="5" t="s">
        <v>222</v>
      </c>
      <c r="G10" s="5" t="s">
        <v>324</v>
      </c>
    </row>
    <row r="11" spans="1:7" ht="136.05000000000001" customHeight="1">
      <c r="A11" s="7" t="s">
        <v>314</v>
      </c>
      <c r="B11" s="7" t="s">
        <v>325</v>
      </c>
      <c r="C11" s="7" t="s">
        <v>326</v>
      </c>
      <c r="D11" s="7" t="s">
        <v>327</v>
      </c>
      <c r="E11" s="7" t="s">
        <v>328</v>
      </c>
      <c r="F11" s="7" t="s">
        <v>222</v>
      </c>
      <c r="G11" s="7" t="s">
        <v>329</v>
      </c>
    </row>
    <row r="12" spans="1:7" ht="136.05000000000001" customHeight="1">
      <c r="A12" s="5" t="s">
        <v>330</v>
      </c>
      <c r="B12" s="5" t="s">
        <v>331</v>
      </c>
      <c r="C12" s="5" t="s">
        <v>332</v>
      </c>
      <c r="D12" s="5" t="s">
        <v>333</v>
      </c>
      <c r="E12" s="5" t="s">
        <v>334</v>
      </c>
      <c r="F12" s="5" t="s">
        <v>335</v>
      </c>
      <c r="G12" s="5" t="s">
        <v>336</v>
      </c>
    </row>
    <row r="13" spans="1:7" ht="136.05000000000001" customHeight="1">
      <c r="A13" s="7" t="s">
        <v>337</v>
      </c>
      <c r="B13" s="7" t="s">
        <v>338</v>
      </c>
      <c r="C13" s="7" t="s">
        <v>339</v>
      </c>
      <c r="D13" s="7" t="s">
        <v>340</v>
      </c>
      <c r="E13" s="7" t="s">
        <v>341</v>
      </c>
      <c r="F13" s="7" t="s">
        <v>202</v>
      </c>
      <c r="G13" s="7" t="s">
        <v>342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showGridLines="0" workbookViewId="0"/>
  </sheetViews>
  <sheetFormatPr defaultRowHeight="13.8"/>
  <cols>
    <col min="1" max="1" width="35" customWidth="1"/>
    <col min="2" max="2" width="77" customWidth="1"/>
    <col min="3" max="3" width="69" customWidth="1"/>
    <col min="4" max="4" width="92" customWidth="1"/>
    <col min="5" max="5" width="18" customWidth="1"/>
    <col min="6" max="6" width="77" customWidth="1"/>
  </cols>
  <sheetData>
    <row r="1" spans="1:6" ht="22.95" customHeight="1">
      <c r="A1" s="1"/>
      <c r="B1" s="1"/>
      <c r="C1" s="1"/>
      <c r="D1" s="1"/>
      <c r="E1" s="1"/>
      <c r="F1" s="1"/>
    </row>
    <row r="2" spans="1:6" ht="22.95" customHeight="1">
      <c r="A2" s="2" t="s">
        <v>343</v>
      </c>
      <c r="B2" s="1"/>
      <c r="C2" s="1"/>
      <c r="D2" s="1"/>
      <c r="E2" s="1"/>
      <c r="F2" s="1"/>
    </row>
    <row r="3" spans="1:6" ht="22.95" customHeight="1">
      <c r="A3" s="3" t="s">
        <v>344</v>
      </c>
      <c r="B3" s="1"/>
      <c r="C3" s="1"/>
      <c r="D3" s="1"/>
      <c r="E3" s="1"/>
      <c r="F3" s="1"/>
    </row>
    <row r="4" spans="1:6" ht="22.95" customHeight="1">
      <c r="A4" s="4"/>
      <c r="B4" s="4"/>
      <c r="C4" s="4"/>
      <c r="D4" s="4"/>
      <c r="E4" s="4"/>
      <c r="F4" s="4"/>
    </row>
    <row r="5" spans="1:6" ht="37.950000000000003" customHeight="1">
      <c r="A5" s="6" t="s">
        <v>345</v>
      </c>
      <c r="B5" s="6" t="s">
        <v>346</v>
      </c>
      <c r="C5" s="6" t="s">
        <v>347</v>
      </c>
      <c r="D5" s="6" t="s">
        <v>348</v>
      </c>
      <c r="E5" s="6" t="s">
        <v>88</v>
      </c>
      <c r="F5" s="6" t="s">
        <v>349</v>
      </c>
    </row>
    <row r="6" spans="1:6" ht="120" customHeight="1">
      <c r="A6" s="5" t="s">
        <v>350</v>
      </c>
      <c r="B6" s="5" t="s">
        <v>351</v>
      </c>
      <c r="C6" s="5" t="s">
        <v>352</v>
      </c>
      <c r="D6" s="5" t="s">
        <v>353</v>
      </c>
      <c r="E6" s="5" t="s">
        <v>115</v>
      </c>
      <c r="F6" s="5" t="s">
        <v>354</v>
      </c>
    </row>
    <row r="7" spans="1:6" ht="120" customHeight="1">
      <c r="A7" s="7" t="s">
        <v>355</v>
      </c>
      <c r="B7" s="7" t="s">
        <v>356</v>
      </c>
      <c r="C7" s="7" t="s">
        <v>357</v>
      </c>
      <c r="D7" s="7" t="s">
        <v>358</v>
      </c>
      <c r="E7" s="7" t="s">
        <v>359</v>
      </c>
      <c r="F7" s="7" t="s">
        <v>360</v>
      </c>
    </row>
    <row r="8" spans="1:6" ht="120" customHeight="1">
      <c r="A8" s="5" t="s">
        <v>361</v>
      </c>
      <c r="B8" s="5" t="s">
        <v>362</v>
      </c>
      <c r="C8" s="5" t="s">
        <v>363</v>
      </c>
      <c r="D8" s="5" t="s">
        <v>364</v>
      </c>
      <c r="E8" s="5" t="s">
        <v>365</v>
      </c>
      <c r="F8" s="5" t="s">
        <v>366</v>
      </c>
    </row>
    <row r="9" spans="1:6" ht="120" customHeight="1">
      <c r="A9" s="7" t="s">
        <v>367</v>
      </c>
      <c r="B9" s="7" t="s">
        <v>368</v>
      </c>
      <c r="C9" s="7" t="s">
        <v>369</v>
      </c>
      <c r="D9" s="7" t="s">
        <v>370</v>
      </c>
      <c r="E9" s="7" t="s">
        <v>115</v>
      </c>
      <c r="F9" s="7" t="s">
        <v>371</v>
      </c>
    </row>
    <row r="10" spans="1:6" ht="120" customHeight="1">
      <c r="A10" s="5" t="s">
        <v>372</v>
      </c>
      <c r="B10" s="5" t="s">
        <v>373</v>
      </c>
      <c r="C10" s="5" t="s">
        <v>374</v>
      </c>
      <c r="D10" s="5" t="s">
        <v>375</v>
      </c>
      <c r="E10" s="5" t="s">
        <v>20</v>
      </c>
      <c r="F10" s="5" t="s">
        <v>376</v>
      </c>
    </row>
    <row r="11" spans="1:6" ht="120" customHeight="1">
      <c r="A11" s="7" t="s">
        <v>377</v>
      </c>
      <c r="B11" s="7" t="s">
        <v>378</v>
      </c>
      <c r="C11" s="7" t="s">
        <v>379</v>
      </c>
      <c r="D11" s="7" t="s">
        <v>380</v>
      </c>
      <c r="E11" s="7" t="s">
        <v>359</v>
      </c>
      <c r="F11" s="7" t="s">
        <v>381</v>
      </c>
    </row>
    <row r="12" spans="1:6" ht="120" customHeight="1">
      <c r="A12" s="5" t="s">
        <v>382</v>
      </c>
      <c r="B12" s="5" t="s">
        <v>383</v>
      </c>
      <c r="C12" s="5" t="s">
        <v>384</v>
      </c>
      <c r="D12" s="5" t="s">
        <v>385</v>
      </c>
      <c r="E12" s="5" t="s">
        <v>29</v>
      </c>
      <c r="F12" s="5" t="s">
        <v>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Hipoteses</vt:lpstr>
      <vt:lpstr>Efeito_Tamanho</vt:lpstr>
      <vt:lpstr>Casos_Contrastantes</vt:lpstr>
      <vt:lpstr>Experimentos</vt:lpstr>
      <vt:lpstr>Fontes_Limites</vt:lpstr>
      <vt:lpstr>Regulacao</vt:lpstr>
      <vt:lpstr>Contraprovas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Crizan Belém</cp:lastModifiedBy>
  <dcterms:modified xsi:type="dcterms:W3CDTF">2026-10-30T17:54:57Z</dcterms:modified>
</cp:coreProperties>
</file>